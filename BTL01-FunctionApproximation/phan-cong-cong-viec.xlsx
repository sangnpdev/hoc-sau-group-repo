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HOCSAU\hoc-sau-group-repo\BTL01-FunctionApproximation\"/>
    </mc:Choice>
  </mc:AlternateContent>
  <xr:revisionPtr revIDLastSave="0" documentId="13_ncr:1_{931F60C7-B385-40CD-8F25-11F3FB49C8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ng quan" sheetId="1" r:id="rId1"/>
    <sheet name="Tasks" sheetId="2" r:id="rId2"/>
    <sheet name="Lich 7 nga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" l="1"/>
  <c r="F16" i="1"/>
  <c r="E16" i="1"/>
  <c r="H16" i="1" s="1"/>
  <c r="D16" i="1"/>
  <c r="G12" i="1"/>
  <c r="H12" i="1" s="1"/>
  <c r="F12" i="1"/>
  <c r="G11" i="1"/>
  <c r="H11" i="1" s="1"/>
  <c r="F11" i="1"/>
  <c r="G10" i="1"/>
  <c r="H10" i="1" s="1"/>
  <c r="F10" i="1"/>
  <c r="G9" i="1"/>
  <c r="H9" i="1" s="1"/>
  <c r="F9" i="1"/>
</calcChain>
</file>

<file path=xl/sharedStrings.xml><?xml version="1.0" encoding="utf-8"?>
<sst xmlns="http://schemas.openxmlformats.org/spreadsheetml/2006/main" count="331" uniqueCount="196">
  <si>
    <t>PHÂN CÔNG BÀI TẬP LỚN | FUNCTION APPROXIMATION MLP</t>
  </si>
  <si>
    <t>Học sâu · Python + PyTorch · 26/10–01/11/2026 · 6 ngày thực hiện (26–31/10) + 01/11 kiểm tra/nộp</t>
  </si>
  <si>
    <t>THÀNH VIÊN</t>
  </si>
  <si>
    <t>SỐ LƯỢNG</t>
  </si>
  <si>
    <t>THỜI GIAN</t>
  </si>
  <si>
    <t>TÀI LIỆU ƯU TIÊN</t>
  </si>
  <si>
    <t>4 người</t>
  </si>
  <si>
    <t>6 ngày làm chính</t>
  </si>
  <si>
    <t>26/10 – 01/11</t>
  </si>
  <si>
    <t>MLP_Exercise - Yeu Cau.pdf</t>
  </si>
  <si>
    <t>STT</t>
  </si>
  <si>
    <t>HỌ VÀ TÊN</t>
  </si>
  <si>
    <t>VAI TRÒ</t>
  </si>
  <si>
    <t>TỶ LỆ DỰ KIẾN (%)</t>
  </si>
  <si>
    <t>SỐ TASK</t>
  </si>
  <si>
    <t>TASK HOÀN THÀNH</t>
  </si>
  <si>
    <t>TIẾN ĐỘ (%)</t>
  </si>
  <si>
    <t>Nguyễn Phước Sang</t>
  </si>
  <si>
    <t>Leader / Tích hợp &amp; chất lượng</t>
  </si>
  <si>
    <t>Nguyễn Gia Thiệu</t>
  </si>
  <si>
    <t>Dữ liệu &amp; thực nghiệm A</t>
  </si>
  <si>
    <t>Nguyễn Nguyên Chương</t>
  </si>
  <si>
    <t>PyTorch &amp; thực nghiệm B</t>
  </si>
  <si>
    <t>Trần Quốc An</t>
  </si>
  <si>
    <t>Thực nghiệm C &amp; trực quan</t>
  </si>
  <si>
    <t>TỔNG TASK</t>
  </si>
  <si>
    <t>HOÀN THÀNH</t>
  </si>
  <si>
    <t>ĐANG LÀM</t>
  </si>
  <si>
    <t>CHƯA BẮT ĐẦU</t>
  </si>
  <si>
    <t>TIẾN ĐỘ CHUNG</t>
  </si>
  <si>
    <t>GHI CHÚ: MSSV là thông tin mẫu; tỷ lệ đóng góp chỉ là dự kiến và cần điều chỉnh theo khối lượng thực tế.</t>
  </si>
  <si>
    <t>Quy tắc: chỉ dùng PyTorch để xây và huấn luyện MLP; NumPy/Pandas/SciPy/Matplotlib chỉ hỗ trợ dữ liệu và biểu đồ.</t>
  </si>
  <si>
    <t>Test 100 mẫu độc lập, không dùng để chọn siêu tham số; validation dùng lựa chọn checkpoint; giữ seed và cấu hình nền khi so sánh A/B/C.</t>
  </si>
  <si>
    <t>WORK BREAKDOWN STRUCTURE — KẾ HOẠCH 6 NGÀY + CHỐT BÀI 01/11</t>
  </si>
  <si>
    <t>Điền trạng thái thực tế và cập nhật link bằng chứng. Ngày 01/11 dành cho nghiệm thu, đóng gói và nộp; không dự kiến phát triển tính năng mới.</t>
  </si>
  <si>
    <t>MÃ TASK</t>
  </si>
  <si>
    <t>NHÓM VIỆC</t>
  </si>
  <si>
    <t>NGƯỜI PHỤ TRÁCH</t>
  </si>
  <si>
    <t>NỘI DUNG CÔNG VIỆC</t>
  </si>
  <si>
    <t>ĐẦU RA / MINH CHỨNG</t>
  </si>
  <si>
    <t>BẮT ĐẦU</t>
  </si>
  <si>
    <t>HẠN CHÓT</t>
  </si>
  <si>
    <t>ƯU TIÊN</t>
  </si>
  <si>
    <t>TRẠNG THÁI</t>
  </si>
  <si>
    <t>PHỐI HỢP / KIỂM TRA</t>
  </si>
  <si>
    <t>GHI CHÚ / LINK</t>
  </si>
  <si>
    <t>QL-01</t>
  </si>
  <si>
    <t>Quản lý</t>
  </si>
  <si>
    <t>Chốt phạm vi, T/P/E, tiêu chí chấm; phân công và baseline</t>
  </si>
  <si>
    <t>README phạm vi, checklist rubric</t>
  </si>
  <si>
    <t>Cao</t>
  </si>
  <si>
    <t>Chưa bắt đầu</t>
  </si>
  <si>
    <t>DATA-01</t>
  </si>
  <si>
    <t>Dữ liệu</t>
  </si>
  <si>
    <t>Lập hàm Gaussian 2D chính xác μ=[0,0], C=[[0.3,-0.5],[-0.5,2]]</t>
  </si>
  <si>
    <t>gaussian.py + unit tests</t>
  </si>
  <si>
    <t>DATA-02</t>
  </si>
  <si>
    <t>Sinh train/val/test độc lập; cố định seeds; test 100 mẫu</t>
  </si>
  <si>
    <t>generate_data.py + CSV + seeds</t>
  </si>
  <si>
    <t>DATA-03</t>
  </si>
  <si>
    <t>Khảo sát thống kê x1,x2,y; scatter 3D và bề mặt hàm thật</t>
  </si>
  <si>
    <t>Bảng số liệu + figures</t>
  </si>
  <si>
    <t>MODEL-01</t>
  </si>
  <si>
    <t>PyTorch</t>
  </si>
  <si>
    <t>Tạo MLP nn.Module tùy chỉnh số tầng ẩn và neuron</t>
  </si>
  <si>
    <t>models/mlp.py + shape tests</t>
  </si>
  <si>
    <t>MODEL-02</t>
  </si>
  <si>
    <t>Xây Dataset/DataLoader, chuẩn hóa fit trên train</t>
  </si>
  <si>
    <t>dataset.py + kiểm tra leakage</t>
  </si>
  <si>
    <t>MODEL-03</t>
  </si>
  <si>
    <t>Train loop forward/loss/zero_grad/backward/step; val no_grad</t>
  </si>
  <si>
    <t>train.py + log epoch</t>
  </si>
  <si>
    <t>MODEL-04</t>
  </si>
  <si>
    <t>Best-checkpoint dựa validation; seed/batch/lr/epochs ghi đủ</t>
  </si>
  <si>
    <t>best_model.pt + config</t>
  </si>
  <si>
    <t>MODEL-05</t>
  </si>
  <si>
    <t>Kiểm tra code PyTorch-only, CPU-run, tính MSE + MAE/RMSE</t>
  </si>
  <si>
    <t>review code + eval.py</t>
  </si>
  <si>
    <t>EXP-A1</t>
  </si>
  <si>
    <t>Thực nghiệm A</t>
  </si>
  <si>
    <t>Thiết lập baseline và chạy A=200,400,...,2000</t>
  </si>
  <si>
    <t>results_A.csv + configs</t>
  </si>
  <si>
    <t>EXP-A2</t>
  </si>
  <si>
    <t>Vẽ metric theo A, phân tích xu hướng và sai số</t>
  </si>
  <si>
    <t>plot_A.png + nhận xét</t>
  </si>
  <si>
    <t>EXP-B1</t>
  </si>
  <si>
    <t>Thực nghiệm B</t>
  </si>
  <si>
    <t>MLP 1 hidden layer, thay B=1...10; giữ biến khác</t>
  </si>
  <si>
    <t>results_B.csv</t>
  </si>
  <si>
    <t>EXP-B2</t>
  </si>
  <si>
    <t>Vẽ metric theo B; phân tích under/overfitting</t>
  </si>
  <si>
    <t>plot_B.png + nhận xét</t>
  </si>
  <si>
    <t>EXP-C1</t>
  </si>
  <si>
    <t>Thực nghiệm C</t>
  </si>
  <si>
    <t>Chạy C=1,2,3,4 hidden layers; giữ tham số khác</t>
  </si>
  <si>
    <t>results_C.csv</t>
  </si>
  <si>
    <t>EXP-C2</t>
  </si>
  <si>
    <t>So sánh test error cuối, hội tụ loss, thời gian train</t>
  </si>
  <si>
    <t>plot_C.png + bảng + phân tích</t>
  </si>
  <si>
    <t>EVAL-01</t>
  </si>
  <si>
    <t>Đánh giá</t>
  </si>
  <si>
    <t>Biểu đồ y thực vs y dự đoán; mặt phẳng xấp xỉ</t>
  </si>
  <si>
    <t>scatter_pred + surface_pred</t>
  </si>
  <si>
    <t>EVAL-02</t>
  </si>
  <si>
    <t>Rà soát tính công bằng train/val/test, không tune theo test</t>
  </si>
  <si>
    <t>validation checklist</t>
  </si>
  <si>
    <t>EVAL-03</t>
  </si>
  <si>
    <t>Tổng hợp kết quả A/B/C, chọn cấu hình theo validation</t>
  </si>
  <si>
    <t>comparison.csv + kết luận</t>
  </si>
  <si>
    <t>DOC-01</t>
  </si>
  <si>
    <t>Báo cáo</t>
  </si>
  <si>
    <t>Viết phần giới thiệu/dữ liệu/phương pháp sinh dữ liệu</t>
  </si>
  <si>
    <t>Nội dung chương 1–2</t>
  </si>
  <si>
    <t>Trung bình</t>
  </si>
  <si>
    <t>DOC-02</t>
  </si>
  <si>
    <t>Viết mô hình, công thức, thuật toán huấn luyện, kiến trúc</t>
  </si>
  <si>
    <t>Nội dung chương 3</t>
  </si>
  <si>
    <t>DOC-03</t>
  </si>
  <si>
    <t>Viết thực nghiệm A/B/C, bảng/hình, bình luận, hạn chế</t>
  </si>
  <si>
    <t>Nội dung chương 4–5</t>
  </si>
  <si>
    <t>DOC-04</t>
  </si>
  <si>
    <t>Biên tập báo cáo 10–20 trang, tham khảo, kết luận, hình/bảng</t>
  </si>
  <si>
    <t>report.docx + report.pdf</t>
  </si>
  <si>
    <t>SLIDE-01</t>
  </si>
  <si>
    <t>Slide</t>
  </si>
  <si>
    <t>Thiết kế slide 10–15 trang, Gaussian/MLP/A-B-C/kết luận</t>
  </si>
  <si>
    <t>presentation.pptx</t>
  </si>
  <si>
    <t>SLIDE-02</t>
  </si>
  <si>
    <t>Rà soát slide và kịch bản thuyết trình 10–15 phút</t>
  </si>
  <si>
    <t>slides cuối + checklist</t>
  </si>
  <si>
    <t>REPRO-01</t>
  </si>
  <si>
    <t>Tái lập</t>
  </si>
  <si>
    <t>Hoàn thiện requirements.txt và lệnh chạy A/B/C</t>
  </si>
  <si>
    <t>requirements.txt, run scripts</t>
  </si>
  <si>
    <t>REPRO-02</t>
  </si>
  <si>
    <t>Đóng gói logs, hình, csv, checkpoints liên quan</t>
  </si>
  <si>
    <t>results/, figures/, models/</t>
  </si>
  <si>
    <t>QA-01</t>
  </si>
  <si>
    <t>Kiểm thử</t>
  </si>
  <si>
    <t>Chạy lại từ đầu trên máy CPU, soát sai khác kết quả</t>
  </si>
  <si>
    <t>QA checklist + run evidence</t>
  </si>
  <si>
    <t>QA-02</t>
  </si>
  <si>
    <t>Kiểm tra công thức, nhãn trục, chú thích và hình trong báo cáo</t>
  </si>
  <si>
    <t>review biểu đồ/report</t>
  </si>
  <si>
    <t>FINAL-01</t>
  </si>
  <si>
    <t>Nộp bài</t>
  </si>
  <si>
    <t>Tổng duyệt demo, tỷ lệ đóng góp, nén ZIP theo tên đề</t>
  </si>
  <si>
    <t>BTL01_Nhom_HoTen_MSSV.zip</t>
  </si>
  <si>
    <t>LỘ TRÌNH THỰC HIỆN — MILESTONES</t>
  </si>
  <si>
    <t>MỐC</t>
  </si>
  <si>
    <t>26/10 T2</t>
  </si>
  <si>
    <t>27/10 T3</t>
  </si>
  <si>
    <t>28/10 T4</t>
  </si>
  <si>
    <t>29/10 T5</t>
  </si>
  <si>
    <t>30/10 T6</t>
  </si>
  <si>
    <t>31/10 T7</t>
  </si>
  <si>
    <t>01/11 CN</t>
  </si>
  <si>
    <t>GHI CHÚ</t>
  </si>
  <si>
    <t>Gaussian + seed</t>
  </si>
  <si>
    <t>Sinh/EDA</t>
  </si>
  <si>
    <t>Hỗ trợ A</t>
  </si>
  <si>
    <t>Chạy A</t>
  </si>
  <si>
    <t>Biểu đồ A</t>
  </si>
  <si>
    <t>Đóng gói</t>
  </si>
  <si>
    <t>Kiểm tra</t>
  </si>
  <si>
    <t>Giữ các tập độc lập</t>
  </si>
  <si>
    <t>Mô hình</t>
  </si>
  <si>
    <t>MLP khung</t>
  </si>
  <si>
    <t>DataLoader</t>
  </si>
  <si>
    <t>Loop/checkpoint</t>
  </si>
  <si>
    <t>Ổn định baseline</t>
  </si>
  <si>
    <t>Rà soát</t>
  </si>
  <si>
    <t>CPU smoke</t>
  </si>
  <si>
    <t>PyTorch bắt buộc</t>
  </si>
  <si>
    <t>Thực nghiệm</t>
  </si>
  <si>
    <t>Khởi chạy A/B/C</t>
  </si>
  <si>
    <t>Thu kết quả</t>
  </si>
  <si>
    <t>Biểu đồ/phân tích</t>
  </si>
  <si>
    <t>Hợp nhất</t>
  </si>
  <si>
    <t>Nghiệm thu</t>
  </si>
  <si>
    <t>Chỉ đổi biến khảo sát</t>
  </si>
  <si>
    <t>Dàn ý</t>
  </si>
  <si>
    <t>Viết từng phần</t>
  </si>
  <si>
    <t>Ghép kết quả</t>
  </si>
  <si>
    <t>Biên tập cuối</t>
  </si>
  <si>
    <t>Kiểm tra PDF</t>
  </si>
  <si>
    <t>10–20 trang nội dung</t>
  </si>
  <si>
    <t>Thiết kế</t>
  </si>
  <si>
    <t>Hoàn thiện</t>
  </si>
  <si>
    <t>Demo</t>
  </si>
  <si>
    <t>10–15 slides</t>
  </si>
  <si>
    <t>Nộp</t>
  </si>
  <si>
    <t>QA</t>
  </si>
  <si>
    <t>ZIP + nộp</t>
  </si>
  <si>
    <t>Ngày dự phòng/đích</t>
  </si>
  <si>
    <t xml:space="preserve">MSSV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</si>
</sst>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>
    <font>
      <sz val="11"/>
      <name val="Carlito"/>
    </font>
    <font>
      <b/>
      <sz val="17"/>
      <color rgb="FFFFFFFF"/>
      <name val="Carlito"/>
    </font>
    <font>
      <sz val="11"/>
      <color rgb="FF183153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b/>
      <sz val="16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83153"/>
      </patternFill>
    </fill>
    <fill>
      <patternFill patternType="solid">
        <fgColor rgb="FFEAF3F7"/>
      </patternFill>
    </fill>
    <fill>
      <patternFill patternType="solid">
        <fgColor rgb="FF087E8B"/>
      </patternFill>
    </fill>
    <fill>
      <patternFill patternType="solid">
        <fgColor rgb="FFFFF1C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9" fontId="0" fillId="0" borderId="0" xfId="0" applyNumberFormat="1"/>
    <xf numFmtId="0" fontId="3" fillId="4" borderId="0" xfId="0" applyFont="1" applyFill="1" applyAlignment="1">
      <alignment wrapText="1"/>
    </xf>
    <xf numFmtId="0" fontId="1" fillId="2" borderId="0" xfId="0" applyFont="1" applyFill="1" applyAlignment="1">
      <alignment vertical="center"/>
    </xf>
    <xf numFmtId="0" fontId="2" fillId="3" borderId="0" xfId="0" applyFont="1" applyFill="1"/>
    <xf numFmtId="0" fontId="0" fillId="5" borderId="0" xfId="0" applyFill="1" applyAlignment="1">
      <alignment wrapText="1"/>
    </xf>
    <xf numFmtId="0" fontId="4" fillId="2" borderId="0" xfId="0" applyFont="1" applyFill="1" applyAlignment="1">
      <alignment vertical="center"/>
    </xf>
    <xf numFmtId="0" fontId="5" fillId="2" borderId="0" xfId="0" applyFont="1" applyFill="1"/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</cellXfs>
  <cellStyles count="1">
    <cellStyle name="Normal" xfId="0" builtinId="0"/>
  </cellStyles>
  <dxfs count="2">
    <dxf>
      <fill>
        <patternFill patternType="solid">
          <bgColor rgb="FFFCE8E6"/>
        </patternFill>
      </fill>
    </dxf>
    <dxf>
      <fill>
        <patternFill patternType="solid">
          <bgColor rgb="FFE0F4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pane ySplit="8" topLeftCell="A9" activePane="bottomLeft" state="frozen"/>
      <selection pane="bottomLeft" activeCell="B11" sqref="B11"/>
    </sheetView>
  </sheetViews>
  <sheetFormatPr defaultRowHeight="14.25"/>
  <cols>
    <col min="1" max="1" width="9" customWidth="1"/>
    <col min="2" max="2" width="21" customWidth="1"/>
    <col min="3" max="3" width="27" customWidth="1"/>
    <col min="4" max="4" width="37" customWidth="1"/>
    <col min="5" max="5" width="24" customWidth="1"/>
    <col min="6" max="6" width="18" customWidth="1"/>
    <col min="7" max="8" width="20" customWidth="1"/>
  </cols>
  <sheetData>
    <row r="1" spans="1:8" ht="24.95" customHeight="1">
      <c r="A1" s="3" t="s">
        <v>0</v>
      </c>
      <c r="B1" s="3"/>
      <c r="C1" s="3"/>
      <c r="D1" s="3"/>
      <c r="E1" s="3"/>
      <c r="F1" s="3"/>
      <c r="G1" s="3"/>
      <c r="H1" s="3"/>
    </row>
    <row r="2" spans="1:8" ht="24.95" customHeight="1">
      <c r="A2" s="3"/>
      <c r="B2" s="3"/>
      <c r="C2" s="3"/>
      <c r="D2" s="3"/>
      <c r="E2" s="3"/>
      <c r="F2" s="3"/>
      <c r="G2" s="3"/>
      <c r="H2" s="3"/>
    </row>
    <row r="3" spans="1:8" ht="30" customHeight="1">
      <c r="A3" s="4" t="s">
        <v>1</v>
      </c>
      <c r="B3" s="4"/>
      <c r="C3" s="4"/>
      <c r="D3" s="4"/>
      <c r="E3" s="4"/>
      <c r="F3" s="4"/>
      <c r="G3" s="4"/>
      <c r="H3" s="4"/>
    </row>
    <row r="5" spans="1:8">
      <c r="A5" t="s">
        <v>2</v>
      </c>
      <c r="B5" t="s">
        <v>3</v>
      </c>
      <c r="C5" t="s">
        <v>4</v>
      </c>
      <c r="D5" t="s">
        <v>5</v>
      </c>
    </row>
    <row r="6" spans="1:8">
      <c r="A6" t="s">
        <v>6</v>
      </c>
      <c r="B6" t="s">
        <v>7</v>
      </c>
      <c r="C6" t="s">
        <v>8</v>
      </c>
      <c r="D6" t="s">
        <v>9</v>
      </c>
    </row>
    <row r="8" spans="1:8" s="9" customFormat="1" ht="27.95" customHeight="1">
      <c r="A8" s="8" t="s">
        <v>10</v>
      </c>
      <c r="B8" s="8" t="s">
        <v>195</v>
      </c>
      <c r="C8" s="8" t="s">
        <v>11</v>
      </c>
      <c r="D8" s="8" t="s">
        <v>12</v>
      </c>
      <c r="E8" s="8" t="s">
        <v>13</v>
      </c>
      <c r="F8" s="8" t="s">
        <v>14</v>
      </c>
      <c r="G8" s="8" t="s">
        <v>15</v>
      </c>
      <c r="H8" s="8" t="s">
        <v>16</v>
      </c>
    </row>
    <row r="9" spans="1:8" s="9" customFormat="1" ht="33.950000000000003" customHeight="1">
      <c r="A9" s="9">
        <v>1</v>
      </c>
      <c r="B9" s="9">
        <v>3123411255</v>
      </c>
      <c r="C9" s="9" t="s">
        <v>17</v>
      </c>
      <c r="D9" s="9" t="s">
        <v>18</v>
      </c>
      <c r="E9" s="9">
        <v>30</v>
      </c>
      <c r="F9" s="9">
        <f>COUNTIF(Tasks!$D$7:$D$35,C9)</f>
        <v>8</v>
      </c>
      <c r="G9" s="9">
        <f>COUNTIFS(Tasks!$D$7:$D$35,C9,Tasks!$J$7:$J$35,"Hoàn thành")</f>
        <v>0</v>
      </c>
      <c r="H9" s="10">
        <f>IFERROR(G9/F9,0)</f>
        <v>0</v>
      </c>
    </row>
    <row r="10" spans="1:8" s="9" customFormat="1" ht="33.950000000000003" customHeight="1">
      <c r="A10" s="9">
        <v>2</v>
      </c>
      <c r="B10" s="9">
        <v>3123411279</v>
      </c>
      <c r="C10" s="9" t="s">
        <v>19</v>
      </c>
      <c r="D10" s="9" t="s">
        <v>20</v>
      </c>
      <c r="E10" s="9">
        <v>25</v>
      </c>
      <c r="F10" s="9">
        <f>COUNTIF(Tasks!$D$7:$D$35,C10)</f>
        <v>7</v>
      </c>
      <c r="G10" s="9">
        <f>COUNTIFS(Tasks!$D$7:$D$35,C10,Tasks!$J$7:$J$35,"Hoàn thành")</f>
        <v>0</v>
      </c>
      <c r="H10" s="10">
        <f>IFERROR(G10/F10,0)</f>
        <v>0</v>
      </c>
    </row>
    <row r="11" spans="1:8" s="9" customFormat="1" ht="33.950000000000003" customHeight="1">
      <c r="A11" s="9">
        <v>3</v>
      </c>
      <c r="B11" s="9">
        <v>3123411042</v>
      </c>
      <c r="C11" s="9" t="s">
        <v>21</v>
      </c>
      <c r="D11" s="9" t="s">
        <v>22</v>
      </c>
      <c r="E11" s="9">
        <v>25</v>
      </c>
      <c r="F11" s="9">
        <f>COUNTIF(Tasks!$D$7:$D$35,C11)</f>
        <v>8</v>
      </c>
      <c r="G11" s="9">
        <f>COUNTIFS(Tasks!$D$7:$D$35,C11,Tasks!$J$7:$J$35,"Hoàn thành")</f>
        <v>0</v>
      </c>
      <c r="H11" s="10">
        <f>IFERROR(G11/F11,0)</f>
        <v>0</v>
      </c>
    </row>
    <row r="12" spans="1:8" s="9" customFormat="1" ht="33.950000000000003" customHeight="1">
      <c r="A12" s="9">
        <v>4</v>
      </c>
      <c r="B12" s="9">
        <v>3123411009</v>
      </c>
      <c r="C12" s="9" t="s">
        <v>23</v>
      </c>
      <c r="D12" s="9" t="s">
        <v>24</v>
      </c>
      <c r="E12" s="9">
        <v>20</v>
      </c>
      <c r="F12" s="9">
        <f>COUNTIF(Tasks!$D$7:$D$35,C12)</f>
        <v>6</v>
      </c>
      <c r="G12" s="9">
        <f>COUNTIFS(Tasks!$D$7:$D$35,C12,Tasks!$J$7:$J$35,"Hoàn thành")</f>
        <v>0</v>
      </c>
      <c r="H12" s="10">
        <f>IFERROR(G12/F12,0)</f>
        <v>0</v>
      </c>
    </row>
    <row r="15" spans="1:8" ht="15">
      <c r="D15" s="2" t="s">
        <v>25</v>
      </c>
      <c r="E15" s="2" t="s">
        <v>26</v>
      </c>
      <c r="F15" s="2" t="s">
        <v>27</v>
      </c>
      <c r="G15" s="2" t="s">
        <v>28</v>
      </c>
      <c r="H15" s="2" t="s">
        <v>29</v>
      </c>
    </row>
    <row r="16" spans="1:8">
      <c r="D16">
        <f>COUNTA(Tasks!B7:B35)</f>
        <v>29</v>
      </c>
      <c r="E16">
        <f>COUNTIF(Tasks!J7:J35,"Hoàn thành")</f>
        <v>0</v>
      </c>
      <c r="F16">
        <f>COUNTIF(Tasks!J7:J35,"Đang làm")</f>
        <v>0</v>
      </c>
      <c r="G16">
        <f>COUNTIF(Tasks!J7:J35,"Chưa bắt đầu")</f>
        <v>29</v>
      </c>
      <c r="H16" s="1">
        <f>IFERROR(E16/D16,0)</f>
        <v>0</v>
      </c>
    </row>
    <row r="19" spans="1:8" ht="30" customHeight="1">
      <c r="A19" s="5" t="s">
        <v>30</v>
      </c>
      <c r="B19" s="5"/>
      <c r="C19" s="5"/>
      <c r="D19" s="5"/>
      <c r="E19" s="5"/>
      <c r="F19" s="5"/>
      <c r="G19" s="5"/>
      <c r="H19" s="5"/>
    </row>
    <row r="20" spans="1:8" ht="30" customHeight="1">
      <c r="A20" s="5" t="s">
        <v>31</v>
      </c>
      <c r="B20" s="5"/>
      <c r="C20" s="5"/>
      <c r="D20" s="5"/>
      <c r="E20" s="5"/>
      <c r="F20" s="5"/>
      <c r="G20" s="5"/>
      <c r="H20" s="5"/>
    </row>
    <row r="21" spans="1:8" ht="30" customHeight="1">
      <c r="A21" s="5" t="s">
        <v>32</v>
      </c>
      <c r="B21" s="5"/>
      <c r="C21" s="5"/>
      <c r="D21" s="5"/>
      <c r="E21" s="5"/>
      <c r="F21" s="5"/>
      <c r="G21" s="5"/>
      <c r="H21" s="5"/>
    </row>
  </sheetData>
  <mergeCells count="5">
    <mergeCell ref="A1:H2"/>
    <mergeCell ref="A3:H3"/>
    <mergeCell ref="A19:H19"/>
    <mergeCell ref="A20:H20"/>
    <mergeCell ref="A21:H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5"/>
  <sheetViews>
    <sheetView workbookViewId="0">
      <pane ySplit="6" topLeftCell="A7" activePane="bottomLeft" state="frozen"/>
      <selection pane="bottomLeft" activeCell="E7" sqref="E7"/>
    </sheetView>
  </sheetViews>
  <sheetFormatPr defaultRowHeight="14.25"/>
  <cols>
    <col min="1" max="1" width="7" customWidth="1"/>
    <col min="2" max="2" width="14" customWidth="1"/>
    <col min="3" max="3" width="20" customWidth="1"/>
    <col min="4" max="4" width="26" customWidth="1"/>
    <col min="5" max="5" width="57" customWidth="1"/>
    <col min="6" max="6" width="37" customWidth="1"/>
    <col min="7" max="8" width="15" customWidth="1"/>
    <col min="9" max="9" width="14" customWidth="1"/>
    <col min="10" max="10" width="19" customWidth="1"/>
    <col min="11" max="11" width="26" customWidth="1"/>
    <col min="12" max="12" width="35" customWidth="1"/>
  </cols>
  <sheetData>
    <row r="1" spans="1:12" ht="24.95" customHeight="1">
      <c r="A1" s="6" t="s">
        <v>33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24.9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32.1" customHeight="1">
      <c r="A3" s="4" t="s">
        <v>34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6" spans="1:12" ht="42" customHeight="1">
      <c r="A6" s="8" t="s">
        <v>10</v>
      </c>
      <c r="B6" s="8" t="s">
        <v>35</v>
      </c>
      <c r="C6" s="8" t="s">
        <v>36</v>
      </c>
      <c r="D6" s="8" t="s">
        <v>37</v>
      </c>
      <c r="E6" s="8" t="s">
        <v>38</v>
      </c>
      <c r="F6" s="8" t="s">
        <v>39</v>
      </c>
      <c r="G6" s="8" t="s">
        <v>40</v>
      </c>
      <c r="H6" s="8" t="s">
        <v>41</v>
      </c>
      <c r="I6" s="8" t="s">
        <v>42</v>
      </c>
      <c r="J6" s="8" t="s">
        <v>43</v>
      </c>
      <c r="K6" s="8" t="s">
        <v>44</v>
      </c>
      <c r="L6" s="8" t="s">
        <v>45</v>
      </c>
    </row>
    <row r="7" spans="1:12" ht="44.1" customHeight="1">
      <c r="A7" s="11">
        <v>1</v>
      </c>
      <c r="B7" s="11" t="s">
        <v>46</v>
      </c>
      <c r="C7" s="11" t="s">
        <v>47</v>
      </c>
      <c r="D7" s="11" t="s">
        <v>17</v>
      </c>
      <c r="E7" s="11" t="s">
        <v>48</v>
      </c>
      <c r="F7" s="11" t="s">
        <v>49</v>
      </c>
      <c r="G7" s="12">
        <v>46321</v>
      </c>
      <c r="H7" s="12">
        <v>46321</v>
      </c>
      <c r="I7" s="11" t="s">
        <v>50</v>
      </c>
      <c r="J7" s="11" t="s">
        <v>51</v>
      </c>
      <c r="K7" s="11" t="s">
        <v>19</v>
      </c>
      <c r="L7" s="11"/>
    </row>
    <row r="8" spans="1:12" ht="44.1" customHeight="1">
      <c r="A8" s="11">
        <v>2</v>
      </c>
      <c r="B8" s="11" t="s">
        <v>52</v>
      </c>
      <c r="C8" s="11" t="s">
        <v>53</v>
      </c>
      <c r="D8" s="11" t="s">
        <v>19</v>
      </c>
      <c r="E8" s="11" t="s">
        <v>54</v>
      </c>
      <c r="F8" s="11" t="s">
        <v>55</v>
      </c>
      <c r="G8" s="12">
        <v>46321</v>
      </c>
      <c r="H8" s="12">
        <v>46321</v>
      </c>
      <c r="I8" s="11" t="s">
        <v>50</v>
      </c>
      <c r="J8" s="11" t="s">
        <v>51</v>
      </c>
      <c r="K8" s="11" t="s">
        <v>17</v>
      </c>
      <c r="L8" s="11"/>
    </row>
    <row r="9" spans="1:12" ht="44.1" customHeight="1">
      <c r="A9" s="11">
        <v>3</v>
      </c>
      <c r="B9" s="11" t="s">
        <v>56</v>
      </c>
      <c r="C9" s="11" t="s">
        <v>53</v>
      </c>
      <c r="D9" s="11" t="s">
        <v>19</v>
      </c>
      <c r="E9" s="11" t="s">
        <v>57</v>
      </c>
      <c r="F9" s="11" t="s">
        <v>58</v>
      </c>
      <c r="G9" s="12">
        <v>46321</v>
      </c>
      <c r="H9" s="12">
        <v>46322</v>
      </c>
      <c r="I9" s="11" t="s">
        <v>50</v>
      </c>
      <c r="J9" s="11" t="s">
        <v>51</v>
      </c>
      <c r="K9" s="11" t="s">
        <v>17</v>
      </c>
      <c r="L9" s="11"/>
    </row>
    <row r="10" spans="1:12" ht="44.1" customHeight="1">
      <c r="A10" s="11">
        <v>4</v>
      </c>
      <c r="B10" s="11" t="s">
        <v>59</v>
      </c>
      <c r="C10" s="11" t="s">
        <v>53</v>
      </c>
      <c r="D10" s="11" t="s">
        <v>19</v>
      </c>
      <c r="E10" s="11" t="s">
        <v>60</v>
      </c>
      <c r="F10" s="11" t="s">
        <v>61</v>
      </c>
      <c r="G10" s="12">
        <v>46322</v>
      </c>
      <c r="H10" s="12">
        <v>46322</v>
      </c>
      <c r="I10" s="11" t="s">
        <v>50</v>
      </c>
      <c r="J10" s="11" t="s">
        <v>51</v>
      </c>
      <c r="K10" s="11" t="s">
        <v>23</v>
      </c>
      <c r="L10" s="11"/>
    </row>
    <row r="11" spans="1:12" ht="44.1" customHeight="1">
      <c r="A11" s="11">
        <v>5</v>
      </c>
      <c r="B11" s="11" t="s">
        <v>62</v>
      </c>
      <c r="C11" s="11" t="s">
        <v>63</v>
      </c>
      <c r="D11" s="11" t="s">
        <v>21</v>
      </c>
      <c r="E11" s="11" t="s">
        <v>64</v>
      </c>
      <c r="F11" s="11" t="s">
        <v>65</v>
      </c>
      <c r="G11" s="12">
        <v>46321</v>
      </c>
      <c r="H11" s="12">
        <v>46322</v>
      </c>
      <c r="I11" s="11" t="s">
        <v>50</v>
      </c>
      <c r="J11" s="11" t="s">
        <v>51</v>
      </c>
      <c r="K11" s="11" t="s">
        <v>17</v>
      </c>
      <c r="L11" s="11"/>
    </row>
    <row r="12" spans="1:12" ht="44.1" customHeight="1">
      <c r="A12" s="11">
        <v>6</v>
      </c>
      <c r="B12" s="11" t="s">
        <v>66</v>
      </c>
      <c r="C12" s="11" t="s">
        <v>63</v>
      </c>
      <c r="D12" s="11" t="s">
        <v>21</v>
      </c>
      <c r="E12" s="11" t="s">
        <v>67</v>
      </c>
      <c r="F12" s="11" t="s">
        <v>68</v>
      </c>
      <c r="G12" s="12">
        <v>46322</v>
      </c>
      <c r="H12" s="12">
        <v>46322</v>
      </c>
      <c r="I12" s="11" t="s">
        <v>50</v>
      </c>
      <c r="J12" s="11" t="s">
        <v>51</v>
      </c>
      <c r="K12" s="11" t="s">
        <v>19</v>
      </c>
      <c r="L12" s="11"/>
    </row>
    <row r="13" spans="1:12" ht="44.1" customHeight="1">
      <c r="A13" s="11">
        <v>7</v>
      </c>
      <c r="B13" s="11" t="s">
        <v>69</v>
      </c>
      <c r="C13" s="11" t="s">
        <v>63</v>
      </c>
      <c r="D13" s="11" t="s">
        <v>21</v>
      </c>
      <c r="E13" s="11" t="s">
        <v>70</v>
      </c>
      <c r="F13" s="11" t="s">
        <v>71</v>
      </c>
      <c r="G13" s="12">
        <v>46322</v>
      </c>
      <c r="H13" s="12">
        <v>46323</v>
      </c>
      <c r="I13" s="11" t="s">
        <v>50</v>
      </c>
      <c r="J13" s="11" t="s">
        <v>51</v>
      </c>
      <c r="K13" s="11" t="s">
        <v>17</v>
      </c>
      <c r="L13" s="11"/>
    </row>
    <row r="14" spans="1:12" ht="44.1" customHeight="1">
      <c r="A14" s="11">
        <v>8</v>
      </c>
      <c r="B14" s="11" t="s">
        <v>72</v>
      </c>
      <c r="C14" s="11" t="s">
        <v>63</v>
      </c>
      <c r="D14" s="11" t="s">
        <v>21</v>
      </c>
      <c r="E14" s="11" t="s">
        <v>73</v>
      </c>
      <c r="F14" s="11" t="s">
        <v>74</v>
      </c>
      <c r="G14" s="12">
        <v>46323</v>
      </c>
      <c r="H14" s="12">
        <v>46323</v>
      </c>
      <c r="I14" s="11" t="s">
        <v>50</v>
      </c>
      <c r="J14" s="11" t="s">
        <v>51</v>
      </c>
      <c r="K14" s="11" t="s">
        <v>17</v>
      </c>
      <c r="L14" s="11"/>
    </row>
    <row r="15" spans="1:12" ht="44.1" customHeight="1">
      <c r="A15" s="11">
        <v>9</v>
      </c>
      <c r="B15" s="11" t="s">
        <v>75</v>
      </c>
      <c r="C15" s="11" t="s">
        <v>63</v>
      </c>
      <c r="D15" s="11" t="s">
        <v>17</v>
      </c>
      <c r="E15" s="11" t="s">
        <v>76</v>
      </c>
      <c r="F15" s="11" t="s">
        <v>77</v>
      </c>
      <c r="G15" s="12">
        <v>46323</v>
      </c>
      <c r="H15" s="12">
        <v>46324</v>
      </c>
      <c r="I15" s="11" t="s">
        <v>50</v>
      </c>
      <c r="J15" s="11" t="s">
        <v>51</v>
      </c>
      <c r="K15" s="11" t="s">
        <v>21</v>
      </c>
      <c r="L15" s="11"/>
    </row>
    <row r="16" spans="1:12" ht="44.1" customHeight="1">
      <c r="A16" s="11">
        <v>10</v>
      </c>
      <c r="B16" s="11" t="s">
        <v>78</v>
      </c>
      <c r="C16" s="11" t="s">
        <v>79</v>
      </c>
      <c r="D16" s="11" t="s">
        <v>19</v>
      </c>
      <c r="E16" s="11" t="s">
        <v>80</v>
      </c>
      <c r="F16" s="11" t="s">
        <v>81</v>
      </c>
      <c r="G16" s="12">
        <v>46323</v>
      </c>
      <c r="H16" s="12">
        <v>46324</v>
      </c>
      <c r="I16" s="11" t="s">
        <v>50</v>
      </c>
      <c r="J16" s="11" t="s">
        <v>51</v>
      </c>
      <c r="K16" s="11" t="s">
        <v>21</v>
      </c>
      <c r="L16" s="11"/>
    </row>
    <row r="17" spans="1:12" ht="44.1" customHeight="1">
      <c r="A17" s="11">
        <v>11</v>
      </c>
      <c r="B17" s="11" t="s">
        <v>82</v>
      </c>
      <c r="C17" s="11" t="s">
        <v>79</v>
      </c>
      <c r="D17" s="11" t="s">
        <v>19</v>
      </c>
      <c r="E17" s="11" t="s">
        <v>83</v>
      </c>
      <c r="F17" s="11" t="s">
        <v>84</v>
      </c>
      <c r="G17" s="12">
        <v>46324</v>
      </c>
      <c r="H17" s="12">
        <v>46325</v>
      </c>
      <c r="I17" s="11" t="s">
        <v>50</v>
      </c>
      <c r="J17" s="11" t="s">
        <v>51</v>
      </c>
      <c r="K17" s="11" t="s">
        <v>17</v>
      </c>
      <c r="L17" s="11"/>
    </row>
    <row r="18" spans="1:12" ht="44.1" customHeight="1">
      <c r="A18" s="11">
        <v>12</v>
      </c>
      <c r="B18" s="11" t="s">
        <v>85</v>
      </c>
      <c r="C18" s="11" t="s">
        <v>86</v>
      </c>
      <c r="D18" s="11" t="s">
        <v>21</v>
      </c>
      <c r="E18" s="11" t="s">
        <v>87</v>
      </c>
      <c r="F18" s="11" t="s">
        <v>88</v>
      </c>
      <c r="G18" s="12">
        <v>46323</v>
      </c>
      <c r="H18" s="12">
        <v>46324</v>
      </c>
      <c r="I18" s="11" t="s">
        <v>50</v>
      </c>
      <c r="J18" s="11" t="s">
        <v>51</v>
      </c>
      <c r="K18" s="11" t="s">
        <v>17</v>
      </c>
      <c r="L18" s="11"/>
    </row>
    <row r="19" spans="1:12" ht="44.1" customHeight="1">
      <c r="A19" s="11">
        <v>13</v>
      </c>
      <c r="B19" s="11" t="s">
        <v>89</v>
      </c>
      <c r="C19" s="11" t="s">
        <v>86</v>
      </c>
      <c r="D19" s="11" t="s">
        <v>21</v>
      </c>
      <c r="E19" s="11" t="s">
        <v>90</v>
      </c>
      <c r="F19" s="11" t="s">
        <v>91</v>
      </c>
      <c r="G19" s="12">
        <v>46324</v>
      </c>
      <c r="H19" s="12">
        <v>46325</v>
      </c>
      <c r="I19" s="11" t="s">
        <v>50</v>
      </c>
      <c r="J19" s="11" t="s">
        <v>51</v>
      </c>
      <c r="K19" s="11" t="s">
        <v>23</v>
      </c>
      <c r="L19" s="11"/>
    </row>
    <row r="20" spans="1:12" ht="44.1" customHeight="1">
      <c r="A20" s="11">
        <v>14</v>
      </c>
      <c r="B20" s="11" t="s">
        <v>92</v>
      </c>
      <c r="C20" s="11" t="s">
        <v>93</v>
      </c>
      <c r="D20" s="11" t="s">
        <v>23</v>
      </c>
      <c r="E20" s="11" t="s">
        <v>94</v>
      </c>
      <c r="F20" s="11" t="s">
        <v>95</v>
      </c>
      <c r="G20" s="12">
        <v>46323</v>
      </c>
      <c r="H20" s="12">
        <v>46324</v>
      </c>
      <c r="I20" s="11" t="s">
        <v>50</v>
      </c>
      <c r="J20" s="11" t="s">
        <v>51</v>
      </c>
      <c r="K20" s="11" t="s">
        <v>21</v>
      </c>
      <c r="L20" s="11"/>
    </row>
    <row r="21" spans="1:12" ht="44.1" customHeight="1">
      <c r="A21" s="11">
        <v>15</v>
      </c>
      <c r="B21" s="11" t="s">
        <v>96</v>
      </c>
      <c r="C21" s="11" t="s">
        <v>93</v>
      </c>
      <c r="D21" s="11" t="s">
        <v>23</v>
      </c>
      <c r="E21" s="11" t="s">
        <v>97</v>
      </c>
      <c r="F21" s="11" t="s">
        <v>98</v>
      </c>
      <c r="G21" s="12">
        <v>46324</v>
      </c>
      <c r="H21" s="12">
        <v>46325</v>
      </c>
      <c r="I21" s="11" t="s">
        <v>50</v>
      </c>
      <c r="J21" s="11" t="s">
        <v>51</v>
      </c>
      <c r="K21" s="11" t="s">
        <v>17</v>
      </c>
      <c r="L21" s="11"/>
    </row>
    <row r="22" spans="1:12" ht="44.1" customHeight="1">
      <c r="A22" s="11">
        <v>16</v>
      </c>
      <c r="B22" s="11" t="s">
        <v>99</v>
      </c>
      <c r="C22" s="11" t="s">
        <v>100</v>
      </c>
      <c r="D22" s="11" t="s">
        <v>23</v>
      </c>
      <c r="E22" s="11" t="s">
        <v>101</v>
      </c>
      <c r="F22" s="11" t="s">
        <v>102</v>
      </c>
      <c r="G22" s="12">
        <v>46324</v>
      </c>
      <c r="H22" s="12">
        <v>46325</v>
      </c>
      <c r="I22" s="11" t="s">
        <v>50</v>
      </c>
      <c r="J22" s="11" t="s">
        <v>51</v>
      </c>
      <c r="K22" s="11" t="s">
        <v>21</v>
      </c>
      <c r="L22" s="11"/>
    </row>
    <row r="23" spans="1:12" ht="44.1" customHeight="1">
      <c r="A23" s="11">
        <v>17</v>
      </c>
      <c r="B23" s="11" t="s">
        <v>103</v>
      </c>
      <c r="C23" s="11" t="s">
        <v>100</v>
      </c>
      <c r="D23" s="11" t="s">
        <v>17</v>
      </c>
      <c r="E23" s="11" t="s">
        <v>104</v>
      </c>
      <c r="F23" s="11" t="s">
        <v>105</v>
      </c>
      <c r="G23" s="12">
        <v>46325</v>
      </c>
      <c r="H23" s="12">
        <v>46325</v>
      </c>
      <c r="I23" s="11" t="s">
        <v>50</v>
      </c>
      <c r="J23" s="11" t="s">
        <v>51</v>
      </c>
      <c r="K23" s="11" t="s">
        <v>19</v>
      </c>
      <c r="L23" s="11"/>
    </row>
    <row r="24" spans="1:12" ht="44.1" customHeight="1">
      <c r="A24" s="11">
        <v>18</v>
      </c>
      <c r="B24" s="11" t="s">
        <v>106</v>
      </c>
      <c r="C24" s="11" t="s">
        <v>100</v>
      </c>
      <c r="D24" s="11" t="s">
        <v>17</v>
      </c>
      <c r="E24" s="11" t="s">
        <v>107</v>
      </c>
      <c r="F24" s="11" t="s">
        <v>108</v>
      </c>
      <c r="G24" s="12">
        <v>46325</v>
      </c>
      <c r="H24" s="12">
        <v>46326</v>
      </c>
      <c r="I24" s="11" t="s">
        <v>50</v>
      </c>
      <c r="J24" s="11" t="s">
        <v>51</v>
      </c>
      <c r="K24" s="11" t="s">
        <v>23</v>
      </c>
      <c r="L24" s="11"/>
    </row>
    <row r="25" spans="1:12" ht="44.1" customHeight="1">
      <c r="A25" s="11">
        <v>19</v>
      </c>
      <c r="B25" s="11" t="s">
        <v>109</v>
      </c>
      <c r="C25" s="11" t="s">
        <v>110</v>
      </c>
      <c r="D25" s="11" t="s">
        <v>19</v>
      </c>
      <c r="E25" s="11" t="s">
        <v>111</v>
      </c>
      <c r="F25" s="11" t="s">
        <v>112</v>
      </c>
      <c r="G25" s="12">
        <v>46324</v>
      </c>
      <c r="H25" s="12">
        <v>46325</v>
      </c>
      <c r="I25" s="11" t="s">
        <v>113</v>
      </c>
      <c r="J25" s="11" t="s">
        <v>51</v>
      </c>
      <c r="K25" s="11" t="s">
        <v>17</v>
      </c>
      <c r="L25" s="11"/>
    </row>
    <row r="26" spans="1:12" ht="44.1" customHeight="1">
      <c r="A26" s="11">
        <v>20</v>
      </c>
      <c r="B26" s="11" t="s">
        <v>114</v>
      </c>
      <c r="C26" s="11" t="s">
        <v>110</v>
      </c>
      <c r="D26" s="11" t="s">
        <v>21</v>
      </c>
      <c r="E26" s="11" t="s">
        <v>115</v>
      </c>
      <c r="F26" s="11" t="s">
        <v>116</v>
      </c>
      <c r="G26" s="12">
        <v>46324</v>
      </c>
      <c r="H26" s="12">
        <v>46325</v>
      </c>
      <c r="I26" s="11" t="s">
        <v>113</v>
      </c>
      <c r="J26" s="11" t="s">
        <v>51</v>
      </c>
      <c r="K26" s="11" t="s">
        <v>17</v>
      </c>
      <c r="L26" s="11"/>
    </row>
    <row r="27" spans="1:12" ht="44.1" customHeight="1">
      <c r="A27" s="11">
        <v>21</v>
      </c>
      <c r="B27" s="11" t="s">
        <v>117</v>
      </c>
      <c r="C27" s="11" t="s">
        <v>110</v>
      </c>
      <c r="D27" s="11" t="s">
        <v>23</v>
      </c>
      <c r="E27" s="11" t="s">
        <v>118</v>
      </c>
      <c r="F27" s="11" t="s">
        <v>119</v>
      </c>
      <c r="G27" s="12">
        <v>46325</v>
      </c>
      <c r="H27" s="12">
        <v>46326</v>
      </c>
      <c r="I27" s="11" t="s">
        <v>50</v>
      </c>
      <c r="J27" s="11" t="s">
        <v>51</v>
      </c>
      <c r="K27" s="11" t="s">
        <v>19</v>
      </c>
      <c r="L27" s="11"/>
    </row>
    <row r="28" spans="1:12" ht="44.1" customHeight="1">
      <c r="A28" s="11">
        <v>22</v>
      </c>
      <c r="B28" s="11" t="s">
        <v>120</v>
      </c>
      <c r="C28" s="11" t="s">
        <v>110</v>
      </c>
      <c r="D28" s="11" t="s">
        <v>17</v>
      </c>
      <c r="E28" s="11" t="s">
        <v>121</v>
      </c>
      <c r="F28" s="11" t="s">
        <v>122</v>
      </c>
      <c r="G28" s="12">
        <v>46326</v>
      </c>
      <c r="H28" s="12">
        <v>46326</v>
      </c>
      <c r="I28" s="11" t="s">
        <v>50</v>
      </c>
      <c r="J28" s="11" t="s">
        <v>51</v>
      </c>
      <c r="K28" s="11" t="s">
        <v>23</v>
      </c>
      <c r="L28" s="11"/>
    </row>
    <row r="29" spans="1:12" ht="44.1" customHeight="1">
      <c r="A29" s="11">
        <v>23</v>
      </c>
      <c r="B29" s="11" t="s">
        <v>123</v>
      </c>
      <c r="C29" s="11" t="s">
        <v>124</v>
      </c>
      <c r="D29" s="11" t="s">
        <v>23</v>
      </c>
      <c r="E29" s="11" t="s">
        <v>125</v>
      </c>
      <c r="F29" s="11" t="s">
        <v>126</v>
      </c>
      <c r="G29" s="12">
        <v>46325</v>
      </c>
      <c r="H29" s="12">
        <v>46326</v>
      </c>
      <c r="I29" s="11" t="s">
        <v>113</v>
      </c>
      <c r="J29" s="11" t="s">
        <v>51</v>
      </c>
      <c r="K29" s="11" t="s">
        <v>17</v>
      </c>
      <c r="L29" s="11"/>
    </row>
    <row r="30" spans="1:12" ht="44.1" customHeight="1">
      <c r="A30" s="11">
        <v>24</v>
      </c>
      <c r="B30" s="11" t="s">
        <v>127</v>
      </c>
      <c r="C30" s="11" t="s">
        <v>124</v>
      </c>
      <c r="D30" s="11" t="s">
        <v>17</v>
      </c>
      <c r="E30" s="11" t="s">
        <v>128</v>
      </c>
      <c r="F30" s="11" t="s">
        <v>129</v>
      </c>
      <c r="G30" s="12">
        <v>46326</v>
      </c>
      <c r="H30" s="12">
        <v>46326</v>
      </c>
      <c r="I30" s="11" t="s">
        <v>113</v>
      </c>
      <c r="J30" s="11" t="s">
        <v>51</v>
      </c>
      <c r="K30" s="11" t="s">
        <v>23</v>
      </c>
      <c r="L30" s="11"/>
    </row>
    <row r="31" spans="1:12" ht="44.1" customHeight="1">
      <c r="A31" s="11">
        <v>25</v>
      </c>
      <c r="B31" s="11" t="s">
        <v>130</v>
      </c>
      <c r="C31" s="11" t="s">
        <v>131</v>
      </c>
      <c r="D31" s="11" t="s">
        <v>21</v>
      </c>
      <c r="E31" s="11" t="s">
        <v>132</v>
      </c>
      <c r="F31" s="11" t="s">
        <v>133</v>
      </c>
      <c r="G31" s="12">
        <v>46325</v>
      </c>
      <c r="H31" s="12">
        <v>46326</v>
      </c>
      <c r="I31" s="11" t="s">
        <v>50</v>
      </c>
      <c r="J31" s="11" t="s">
        <v>51</v>
      </c>
      <c r="K31" s="11" t="s">
        <v>17</v>
      </c>
      <c r="L31" s="11"/>
    </row>
    <row r="32" spans="1:12" ht="44.1" customHeight="1">
      <c r="A32" s="11">
        <v>26</v>
      </c>
      <c r="B32" s="11" t="s">
        <v>134</v>
      </c>
      <c r="C32" s="11" t="s">
        <v>131</v>
      </c>
      <c r="D32" s="11" t="s">
        <v>19</v>
      </c>
      <c r="E32" s="11" t="s">
        <v>135</v>
      </c>
      <c r="F32" s="11" t="s">
        <v>136</v>
      </c>
      <c r="G32" s="12">
        <v>46326</v>
      </c>
      <c r="H32" s="12">
        <v>46326</v>
      </c>
      <c r="I32" s="11" t="s">
        <v>113</v>
      </c>
      <c r="J32" s="11" t="s">
        <v>51</v>
      </c>
      <c r="K32" s="11" t="s">
        <v>23</v>
      </c>
      <c r="L32" s="11"/>
    </row>
    <row r="33" spans="1:12" ht="44.1" customHeight="1">
      <c r="A33" s="11">
        <v>27</v>
      </c>
      <c r="B33" s="11" t="s">
        <v>137</v>
      </c>
      <c r="C33" s="11" t="s">
        <v>138</v>
      </c>
      <c r="D33" s="11" t="s">
        <v>17</v>
      </c>
      <c r="E33" s="11" t="s">
        <v>139</v>
      </c>
      <c r="F33" s="11" t="s">
        <v>140</v>
      </c>
      <c r="G33" s="12">
        <v>46326</v>
      </c>
      <c r="H33" s="12">
        <v>46327</v>
      </c>
      <c r="I33" s="11" t="s">
        <v>50</v>
      </c>
      <c r="J33" s="11" t="s">
        <v>51</v>
      </c>
      <c r="K33" s="11" t="s">
        <v>21</v>
      </c>
      <c r="L33" s="11"/>
    </row>
    <row r="34" spans="1:12" ht="44.1" customHeight="1">
      <c r="A34" s="11">
        <v>28</v>
      </c>
      <c r="B34" s="11" t="s">
        <v>141</v>
      </c>
      <c r="C34" s="11" t="s">
        <v>138</v>
      </c>
      <c r="D34" s="11" t="s">
        <v>23</v>
      </c>
      <c r="E34" s="11" t="s">
        <v>142</v>
      </c>
      <c r="F34" s="11" t="s">
        <v>143</v>
      </c>
      <c r="G34" s="12">
        <v>46326</v>
      </c>
      <c r="H34" s="12">
        <v>46327</v>
      </c>
      <c r="I34" s="11" t="s">
        <v>50</v>
      </c>
      <c r="J34" s="11" t="s">
        <v>51</v>
      </c>
      <c r="K34" s="11" t="s">
        <v>19</v>
      </c>
      <c r="L34" s="11"/>
    </row>
    <row r="35" spans="1:12" ht="44.1" customHeight="1">
      <c r="A35" s="11">
        <v>29</v>
      </c>
      <c r="B35" s="11" t="s">
        <v>144</v>
      </c>
      <c r="C35" s="11" t="s">
        <v>145</v>
      </c>
      <c r="D35" s="11" t="s">
        <v>17</v>
      </c>
      <c r="E35" s="11" t="s">
        <v>146</v>
      </c>
      <c r="F35" s="11" t="s">
        <v>147</v>
      </c>
      <c r="G35" s="12">
        <v>46327</v>
      </c>
      <c r="H35" s="12">
        <v>46327</v>
      </c>
      <c r="I35" s="11" t="s">
        <v>50</v>
      </c>
      <c r="J35" s="11" t="s">
        <v>51</v>
      </c>
      <c r="K35" s="11" t="s">
        <v>19</v>
      </c>
      <c r="L35" s="11"/>
    </row>
  </sheetData>
  <mergeCells count="2">
    <mergeCell ref="A1:L2"/>
    <mergeCell ref="A3:L3"/>
  </mergeCells>
  <conditionalFormatting sqref="J7:J35">
    <cfRule type="expression" dxfId="1" priority="1">
      <formula>J7="Hoàn thành"</formula>
    </cfRule>
    <cfRule type="expression" dxfId="0" priority="2">
      <formula>J7="Bị chặn"</formula>
    </cfRule>
  </conditionalFormatting>
  <dataValidations count="1">
    <dataValidation type="list" sqref="J7:J35" xr:uid="{00000000-0002-0000-0100-000000000000}">
      <formula1>"Chưa bắt đầu,Đang làm,Hoàn thành,Bị chặn"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"/>
  <sheetViews>
    <sheetView workbookViewId="0">
      <pane ySplit="4" topLeftCell="A5" activePane="bottomLeft" state="frozen"/>
      <selection pane="bottomLeft" activeCell="E15" sqref="E15"/>
    </sheetView>
  </sheetViews>
  <sheetFormatPr defaultRowHeight="14.25"/>
  <cols>
    <col min="1" max="1" width="20" customWidth="1"/>
    <col min="2" max="8" width="24" customWidth="1"/>
    <col min="9" max="9" width="34" customWidth="1"/>
  </cols>
  <sheetData>
    <row r="1" spans="1:9" ht="24.95" customHeight="1">
      <c r="A1" s="7" t="s">
        <v>148</v>
      </c>
      <c r="B1" s="7"/>
      <c r="C1" s="7"/>
      <c r="D1" s="7"/>
      <c r="E1" s="7"/>
      <c r="F1" s="7"/>
      <c r="G1" s="7"/>
      <c r="H1" s="7"/>
      <c r="I1" s="7"/>
    </row>
    <row r="2" spans="1:9" ht="24.95" customHeight="1">
      <c r="A2" s="7"/>
      <c r="B2" s="7"/>
      <c r="C2" s="7"/>
      <c r="D2" s="7"/>
      <c r="E2" s="7"/>
      <c r="F2" s="7"/>
      <c r="G2" s="7"/>
      <c r="H2" s="7"/>
      <c r="I2" s="7"/>
    </row>
    <row r="4" spans="1:9" ht="33.950000000000003" customHeight="1">
      <c r="A4" s="8" t="s">
        <v>149</v>
      </c>
      <c r="B4" s="8" t="s">
        <v>150</v>
      </c>
      <c r="C4" s="8" t="s">
        <v>151</v>
      </c>
      <c r="D4" s="8" t="s">
        <v>152</v>
      </c>
      <c r="E4" s="8" t="s">
        <v>153</v>
      </c>
      <c r="F4" s="8" t="s">
        <v>154</v>
      </c>
      <c r="G4" s="8" t="s">
        <v>155</v>
      </c>
      <c r="H4" s="8" t="s">
        <v>156</v>
      </c>
      <c r="I4" s="8" t="s">
        <v>157</v>
      </c>
    </row>
    <row r="5" spans="1:9" ht="50.1" customHeight="1">
      <c r="A5" s="11" t="s">
        <v>53</v>
      </c>
      <c r="B5" s="11" t="s">
        <v>158</v>
      </c>
      <c r="C5" s="11" t="s">
        <v>159</v>
      </c>
      <c r="D5" s="11" t="s">
        <v>160</v>
      </c>
      <c r="E5" s="11" t="s">
        <v>161</v>
      </c>
      <c r="F5" s="11" t="s">
        <v>162</v>
      </c>
      <c r="G5" s="11" t="s">
        <v>163</v>
      </c>
      <c r="H5" s="13" t="s">
        <v>164</v>
      </c>
      <c r="I5" s="11" t="s">
        <v>165</v>
      </c>
    </row>
    <row r="6" spans="1:9" ht="50.1" customHeight="1">
      <c r="A6" s="11" t="s">
        <v>166</v>
      </c>
      <c r="B6" s="11" t="s">
        <v>167</v>
      </c>
      <c r="C6" s="11" t="s">
        <v>168</v>
      </c>
      <c r="D6" s="11" t="s">
        <v>169</v>
      </c>
      <c r="E6" s="11" t="s">
        <v>170</v>
      </c>
      <c r="F6" s="11" t="s">
        <v>171</v>
      </c>
      <c r="G6" s="11" t="s">
        <v>131</v>
      </c>
      <c r="H6" s="13" t="s">
        <v>172</v>
      </c>
      <c r="I6" s="11" t="s">
        <v>173</v>
      </c>
    </row>
    <row r="7" spans="1:9" ht="50.1" customHeight="1">
      <c r="A7" s="11" t="s">
        <v>174</v>
      </c>
      <c r="B7" s="11"/>
      <c r="C7" s="11"/>
      <c r="D7" s="11" t="s">
        <v>175</v>
      </c>
      <c r="E7" s="11" t="s">
        <v>176</v>
      </c>
      <c r="F7" s="11" t="s">
        <v>177</v>
      </c>
      <c r="G7" s="11" t="s">
        <v>178</v>
      </c>
      <c r="H7" s="13" t="s">
        <v>179</v>
      </c>
      <c r="I7" s="11" t="s">
        <v>180</v>
      </c>
    </row>
    <row r="8" spans="1:9" ht="50.1" customHeight="1">
      <c r="A8" s="11" t="s">
        <v>110</v>
      </c>
      <c r="B8" s="11"/>
      <c r="C8" s="11"/>
      <c r="D8" s="11" t="s">
        <v>181</v>
      </c>
      <c r="E8" s="11" t="s">
        <v>182</v>
      </c>
      <c r="F8" s="11" t="s">
        <v>183</v>
      </c>
      <c r="G8" s="11" t="s">
        <v>184</v>
      </c>
      <c r="H8" s="13" t="s">
        <v>185</v>
      </c>
      <c r="I8" s="11" t="s">
        <v>186</v>
      </c>
    </row>
    <row r="9" spans="1:9" ht="50.1" customHeight="1">
      <c r="A9" s="11" t="s">
        <v>124</v>
      </c>
      <c r="B9" s="11"/>
      <c r="C9" s="11"/>
      <c r="D9" s="11"/>
      <c r="E9" s="11"/>
      <c r="F9" s="11" t="s">
        <v>187</v>
      </c>
      <c r="G9" s="11" t="s">
        <v>188</v>
      </c>
      <c r="H9" s="13" t="s">
        <v>189</v>
      </c>
      <c r="I9" s="11" t="s">
        <v>190</v>
      </c>
    </row>
    <row r="10" spans="1:9" ht="50.1" customHeight="1">
      <c r="A10" s="11" t="s">
        <v>191</v>
      </c>
      <c r="B10" s="11"/>
      <c r="C10" s="11"/>
      <c r="D10" s="11"/>
      <c r="E10" s="11"/>
      <c r="F10" s="11"/>
      <c r="G10" s="11" t="s">
        <v>192</v>
      </c>
      <c r="H10" s="13" t="s">
        <v>193</v>
      </c>
      <c r="I10" s="11" t="s">
        <v>194</v>
      </c>
    </row>
  </sheetData>
  <mergeCells count="1">
    <mergeCell ref="A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quan</vt:lpstr>
      <vt:lpstr>Tasks</vt:lpstr>
      <vt:lpstr>Lich 7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 - Alternative Nguyen Phuoc</cp:lastModifiedBy>
  <dcterms:modified xsi:type="dcterms:W3CDTF">2026-10-25T14:40:05Z</dcterms:modified>
</cp:coreProperties>
</file>